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.교사개설동아리(입력용)" sheetId="1" r:id="rId5"/>
    <sheet state="visible" name="2026.학생창체동아리" sheetId="2" r:id="rId6"/>
    <sheet state="visible" name="2025.교사개설동아리(참고용)" sheetId="3" r:id="rId7"/>
    <sheet state="visible" name="2024.교사개설동아리(참고용)" sheetId="4" r:id="rId8"/>
  </sheets>
  <definedNames/>
  <calcPr/>
</workbook>
</file>

<file path=xl/sharedStrings.xml><?xml version="1.0" encoding="utf-8"?>
<sst xmlns="http://schemas.openxmlformats.org/spreadsheetml/2006/main" count="245" uniqueCount="222">
  <si>
    <t>&lt;동아리명 및 지도교사&gt;</t>
  </si>
  <si>
    <t>* 지도하시고 싶으신 동아리에 지도교사란에 성함을 적어주시면 됩니다. 동아리 모집 인원이 10명 이하면 개설이 불가할 수 있으며 20명 이상이면 지도교사를 2명으로 배치할 예정입니다. (15명 내외는 1분 배정)</t>
  </si>
  <si>
    <t>사전 조사를 하는 것이며 추후 동아리 모집상황에 따라 배정이 변경될 수 있습니다.</t>
  </si>
  <si>
    <t>*교내 모든 선생님께서는 동아리를 지도하셔야 함을 양해부탁드립니다.</t>
  </si>
  <si>
    <t>연번</t>
  </si>
  <si>
    <t>동아리명(교사 개설)</t>
  </si>
  <si>
    <t>지도교사명</t>
  </si>
  <si>
    <t>활동분야(진로관련)</t>
  </si>
  <si>
    <t>진로 나침반 연구소(1학년 대상)</t>
  </si>
  <si>
    <t>이지희</t>
  </si>
  <si>
    <t>자신의 진로 방향을 찾는 나침반 역할을 하는 동아리
* 자신의 흥미와 적성을 이해하고, 이를 바탕으로 진로와 교육과정을 설계하는 진로 탐구 동아리</t>
  </si>
  <si>
    <t>책읽고 글쓰기(1학년 대상)</t>
  </si>
  <si>
    <t>김태영, 이병의</t>
  </si>
  <si>
    <t>진로와 관련하여 책을 읽고 글 쓰며 꿈을 찾아가는 동아리. 매 시간 글 쓸 예정.</t>
  </si>
  <si>
    <t>역사 교육 활동 동아리(1학년 대상)</t>
  </si>
  <si>
    <t>최선주</t>
  </si>
  <si>
    <t>역사(역사교육)에 대한 테마별(주제별) 탐구 활동(역사 영화 해석, 역사 토론 활동, 역사 관련 독서, 사료 해석 및 인물 탐구 등 역사교육 활동 포함)
*역사 관련 학과 및 역사 교사를 희망하는 학생들 지원 바람(1학년 대상)</t>
  </si>
  <si>
    <t>세상 돋보기(1학년 대상)</t>
  </si>
  <si>
    <t>박수현, 박민혜</t>
  </si>
  <si>
    <t>뉴스와 다큐멘터리를 통해 사회 이슈와 현상을 탐구하는 동아리(사회 문제에 관심 있는 1학년 학생 지원 바람)</t>
  </si>
  <si>
    <t>글로벌 톡톡(1학년 대상)</t>
  </si>
  <si>
    <t>박진효</t>
  </si>
  <si>
    <t>환경, AI, 로봇, 경제, 에너지 등의 글로벌 이슈를 선정하여 찬반 혹은 해결 방안 토론(국제 정세에 관심 있거나 배우길 바라는 1학년 학생 지원 바람)</t>
  </si>
  <si>
    <t>커리어무비(2학년 대상)</t>
  </si>
  <si>
    <t>허정화,정지연</t>
  </si>
  <si>
    <t>진로 관련된 영화 감상 및 포트폴리오 제작</t>
  </si>
  <si>
    <t>대신해AI:귀찮은 건 AI가 대신해 드립니다</t>
  </si>
  <si>
    <t>황요한</t>
  </si>
  <si>
    <t>맨날 똑같이 반복하는 학교생활, 완전 초보도 할 수 있는, AI가 만들어 주는 코딩으로 자동화해보자!  급식 메뉴 확인부터 스터디 플래너까지 내 손으로 직접 만드는 재미! 
트렌디한 활동으로 차별성 있는 생기부 작성도 OK!</t>
  </si>
  <si>
    <t>간호반</t>
  </si>
  <si>
    <t>강선희</t>
  </si>
  <si>
    <t>간호사가 꿈인 학생들을 대상으로 진로 탐색하는 동아리 (반드시, 간호학과 진학할 학생만 지원)</t>
  </si>
  <si>
    <t>보드게임 전략 분석반</t>
  </si>
  <si>
    <t>이숙경</t>
  </si>
  <si>
    <t>보드게임의 메커니즘 분석과 전략 수립을 통해 논리적 사고력을 함양
* 매시간 활동 후 전략 분석 보고서를 필수로 제출해야 하므로, 진지하게 탐구 활동에 임할 학생만 지원할 것</t>
  </si>
  <si>
    <t>한국 소도시 관광 연구소</t>
  </si>
  <si>
    <t>남정화</t>
  </si>
  <si>
    <t>숨은 한국 소도시 TOP10 관광상품 만들기 프로젝트</t>
  </si>
  <si>
    <t>*동아리 모집 인원이 10명 이하면 개설이 불가할 수 있으며, 20명 이상이면 지도교사를 2명으로 배치할 예정입니다. 
(15명 내외는 1분 배정)-변동있을수있음</t>
  </si>
  <si>
    <t xml:space="preserve">*교과 특수성(음미체,과학실험 등),업무분야(방송, 도서관 등)에 따라 동아리 지도교사는 배정될 수 있습니다.                                </t>
  </si>
  <si>
    <t>*사전 조사를 하는 것이며 추후 동아리 모집상황에 따라 배정이 변경될 수 있습니다.</t>
  </si>
  <si>
    <t>*학생수가 적은 동아리(15명이하): 수요일 동아리배정시간에 인원충원합니다.</t>
  </si>
  <si>
    <t>*대표학생이 섭외해온 지도교사를 우선 배정합니다.</t>
  </si>
  <si>
    <t>창체 동아리명</t>
  </si>
  <si>
    <t>지도교사</t>
  </si>
  <si>
    <t>인원</t>
  </si>
  <si>
    <t>1학년</t>
  </si>
  <si>
    <t>2학년</t>
  </si>
  <si>
    <t>3학년</t>
  </si>
  <si>
    <t>대표학생이름</t>
  </si>
  <si>
    <t>학번</t>
  </si>
  <si>
    <t>화생방</t>
  </si>
  <si>
    <t>생명과학과, 약학과, 생물학과, 간호학과, 의예과</t>
  </si>
  <si>
    <t>서용환
박희영</t>
  </si>
  <si>
    <t>최준우</t>
  </si>
  <si>
    <t>의생명 탐구부</t>
  </si>
  <si>
    <t>의예과 중점 및 약학, 생명과학, 화학 관련 활동</t>
  </si>
  <si>
    <t>여지언</t>
  </si>
  <si>
    <t>정은준</t>
  </si>
  <si>
    <t>시그마</t>
  </si>
  <si>
    <t>항공우주,기계공학,전기전자공학과 등 공학 관련학과 활동</t>
  </si>
  <si>
    <t>박승현
박진효</t>
  </si>
  <si>
    <t>이승도</t>
  </si>
  <si>
    <t>리뉴턴</t>
  </si>
  <si>
    <t>물리 관련 탐구 활동</t>
  </si>
  <si>
    <t>성유송
김정화</t>
  </si>
  <si>
    <t>최원진</t>
  </si>
  <si>
    <t>화물선</t>
  </si>
  <si>
    <t>과학 관련 전반적 활동</t>
  </si>
  <si>
    <t>서한성</t>
  </si>
  <si>
    <t>김대현</t>
  </si>
  <si>
    <t>컴퓨터 공학부</t>
  </si>
  <si>
    <t>컴퓨터공학과, IT분야</t>
  </si>
  <si>
    <t>김주연
정현재</t>
  </si>
  <si>
    <t>김재영</t>
  </si>
  <si>
    <t>수리노리</t>
  </si>
  <si>
    <t>수학 관련 활동</t>
  </si>
  <si>
    <t>김대홍
김수민</t>
  </si>
  <si>
    <t>변재훈</t>
  </si>
  <si>
    <t>경세제민</t>
  </si>
  <si>
    <t>경제학과, 경영학과, 정치외교학과 등 사회 관련학과</t>
  </si>
  <si>
    <t>김정아
박춘화</t>
  </si>
  <si>
    <t>신재하</t>
  </si>
  <si>
    <t>세계시민</t>
  </si>
  <si>
    <t>유네스코의 이념 확산과 실천, 탐구 학습 중심 활동 지향
문/이과 통합</t>
  </si>
  <si>
    <t>김다혜
권현정</t>
  </si>
  <si>
    <t>조연우</t>
  </si>
  <si>
    <t>교지 편집부</t>
  </si>
  <si>
    <t>도서관운영 및 교지 편집(국문학과 및 관련학과)</t>
  </si>
  <si>
    <t>권계형</t>
  </si>
  <si>
    <t>옥정우</t>
  </si>
  <si>
    <t>방송부</t>
  </si>
  <si>
    <t>교내 방송 담당(방송관련학과 및 미디어 관련학과)</t>
  </si>
  <si>
    <t>문예진</t>
  </si>
  <si>
    <t>김재호</t>
  </si>
  <si>
    <t>창업 아이디어</t>
  </si>
  <si>
    <t>창업 아이디어를 계획해 보는 활동, 경제 사회 관련 활동</t>
  </si>
  <si>
    <t>권혜원</t>
  </si>
  <si>
    <t>김주영</t>
  </si>
  <si>
    <t>행단 2.0</t>
  </si>
  <si>
    <t>모둠별 사회 분야 주제탐구 및 토론 활동</t>
  </si>
  <si>
    <t>안미란</t>
  </si>
  <si>
    <t>정의찬</t>
  </si>
  <si>
    <t>그림동아리</t>
  </si>
  <si>
    <t>미술 관련 활동</t>
  </si>
  <si>
    <t>정은영
김명규</t>
  </si>
  <si>
    <t>이민효</t>
  </si>
  <si>
    <t>찐밴드</t>
  </si>
  <si>
    <t>실용음악과 활동</t>
  </si>
  <si>
    <t>최준호</t>
  </si>
  <si>
    <t>김동윤</t>
  </si>
  <si>
    <t>아카데미</t>
  </si>
  <si>
    <t>영화, 영상연출, 연극영화, 문화전반 관련 진로 희망 활동</t>
  </si>
  <si>
    <t>강지영</t>
  </si>
  <si>
    <t>군사부</t>
  </si>
  <si>
    <t>사관학교 진학, 군인 관련 진로 희망활동</t>
  </si>
  <si>
    <t>강필성
김승우</t>
  </si>
  <si>
    <t>김도윤</t>
  </si>
  <si>
    <t>배드민턴부</t>
  </si>
  <si>
    <t>배드민턴 관련 활동</t>
  </si>
  <si>
    <t>최영훈</t>
  </si>
  <si>
    <t>백유일</t>
  </si>
  <si>
    <t>농구부</t>
  </si>
  <si>
    <t>농구 관련 활동</t>
  </si>
  <si>
    <t>배수현
김지혁</t>
  </si>
  <si>
    <t>박민혁</t>
  </si>
  <si>
    <t>축구부</t>
  </si>
  <si>
    <t>축구 관련 활동</t>
  </si>
  <si>
    <t>이로겸
조성규</t>
  </si>
  <si>
    <t>윤휘영</t>
  </si>
  <si>
    <t>런닝맨</t>
  </si>
  <si>
    <t>기본 기초 체력 단련 및 부상 예방과 재활관련 진로,
스포츠재활과, 스포츠학과 등 체육 관련 활동</t>
  </si>
  <si>
    <t>정순영
김지영</t>
  </si>
  <si>
    <t>김민준</t>
  </si>
  <si>
    <t>솔리언 또래 상담</t>
  </si>
  <si>
    <t>상담(상담심리 및 심리학과, 교육계열) 활동</t>
  </si>
  <si>
    <t>최미정</t>
  </si>
  <si>
    <t>정원호</t>
  </si>
  <si>
    <t>게임이론</t>
  </si>
  <si>
    <t>수학적 사고를 통한 게임 이론 탐구 활동</t>
  </si>
  <si>
    <t>진주희</t>
  </si>
  <si>
    <t>허다현</t>
  </si>
  <si>
    <t>오리온</t>
  </si>
  <si>
    <t>항공 우주 공학 관련 탐구 활동</t>
  </si>
  <si>
    <t>이유정</t>
  </si>
  <si>
    <t>박준상</t>
  </si>
  <si>
    <t>물리화학부</t>
  </si>
  <si>
    <t>물리학,화학 분야 탐구 활동</t>
  </si>
  <si>
    <t>한정규</t>
  </si>
  <si>
    <t>정시훈</t>
  </si>
  <si>
    <t>과학실험동아리</t>
  </si>
  <si>
    <t>박지환</t>
  </si>
  <si>
    <t>정선우</t>
  </si>
  <si>
    <t>어울림 스포츠</t>
  </si>
  <si>
    <t>생활체육프로그램 활동(도움반 1,2,3학년)</t>
  </si>
  <si>
    <t>고장선 
김다해 
임선곤</t>
  </si>
  <si>
    <t>꿈틀 영상실</t>
  </si>
  <si>
    <t>송정아,김혜양</t>
  </si>
  <si>
    <t>진로 및 관심 분야 영상 감상 후  발표</t>
  </si>
  <si>
    <t>커리어무비</t>
  </si>
  <si>
    <t>다큐사랑</t>
  </si>
  <si>
    <t>배민규,조성규</t>
  </si>
  <si>
    <t>다큐멘터리 탐구 관련 동아리</t>
  </si>
  <si>
    <t>세상 톺아보기</t>
  </si>
  <si>
    <t>김정아,이승언</t>
  </si>
  <si>
    <t>영상과 책 속에 등장한 사회 문제를 분석하고 이에 대해 토론하는 동아리</t>
  </si>
  <si>
    <t>뉴미디어 세상읽기</t>
  </si>
  <si>
    <t>박지혜,최영내</t>
  </si>
  <si>
    <t>뉴 미디어 매체를 활용한 앎의 지평 넓히기</t>
  </si>
  <si>
    <t>탐색과발견</t>
  </si>
  <si>
    <t>이주희</t>
  </si>
  <si>
    <t>생활 속에서 발견하는 의문들을 인문학적 또는 과학기술적 관점에서 분석하고 해결책을 탐구하는 동아리</t>
  </si>
  <si>
    <t>주제탐구활동부</t>
  </si>
  <si>
    <t>백정용</t>
  </si>
  <si>
    <t>관심 분야별로 개인 또는 팀을 구성하여 탐구, 토론하여 결과를 보고서로 작성하고 발표</t>
  </si>
  <si>
    <t>창의융합탐구부</t>
  </si>
  <si>
    <t>이재호</t>
  </si>
  <si>
    <t>인문, 자연과학적 관점에서 다양한 주제 탐구 및 실생활 문제해결 연구</t>
  </si>
  <si>
    <t>사유의 깊이를 더하는 융합탐구부</t>
  </si>
  <si>
    <t>관신별로 인문, 자연과학적 관점에서 책과 연계한 다양한 주제 탐구 및 실생활 문제해결 연구</t>
  </si>
  <si>
    <t>질문하고 탐구하는 우리들</t>
  </si>
  <si>
    <t>차지현</t>
  </si>
  <si>
    <t>자유 주제 탐구 동아리</t>
  </si>
  <si>
    <t>사유와 실험</t>
  </si>
  <si>
    <t>박혜진</t>
  </si>
  <si>
    <t>진로관련 창의적 생각을 행동으로 실천, 실험해 보는 동아리</t>
  </si>
  <si>
    <t>지성의 흐름</t>
  </si>
  <si>
    <t>박수현</t>
  </si>
  <si>
    <t>지성인으로서 주제에 대해 깊이 사유하는 동아리</t>
  </si>
  <si>
    <t>책속의 꿈틀이</t>
  </si>
  <si>
    <t>김태영</t>
  </si>
  <si>
    <t>진로와 관련하여 책을 읽고 꿈을 찾아가는 동아리</t>
  </si>
  <si>
    <t>연결과 확장</t>
  </si>
  <si>
    <t>서철민</t>
  </si>
  <si>
    <t>수학, 과학, 기술, 예술 등 여러 분야의 지식을 연결하고 새로운 가능성을 확장하는 동아리</t>
  </si>
  <si>
    <t>라온누리 탐구부</t>
  </si>
  <si>
    <t>온세상의 즐거움을 탐구하는 반</t>
  </si>
  <si>
    <t>영상매체탐구반</t>
  </si>
  <si>
    <t>영상과 매체 탐구 동아리</t>
  </si>
  <si>
    <t>문장의 레시피</t>
  </si>
  <si>
    <t>다양한 종류의 글쓰기 활동</t>
  </si>
  <si>
    <t>뉴미디어로 세상 읽기</t>
  </si>
  <si>
    <t>뉴미디어 매체를 활용한 앎의 지평 넓히기</t>
  </si>
  <si>
    <t>대금반</t>
  </si>
  <si>
    <t>정통악기 대금을 배우는 동아리</t>
  </si>
  <si>
    <t>영어로 읽는 세계</t>
  </si>
  <si>
    <t>진로 관련 주제 기사 읽고 발표하기</t>
  </si>
  <si>
    <t>꿈틀 영화</t>
  </si>
  <si>
    <t>진로 관련 영화감상</t>
  </si>
  <si>
    <t>달팽이 독서</t>
  </si>
  <si>
    <t>다양한 분야의 책을 읽고, 주제 탐구 활동을 하는 동아리</t>
  </si>
  <si>
    <t>폴리스아카데미</t>
  </si>
  <si>
    <t>경찰 진로 관련 동아리</t>
  </si>
  <si>
    <t>빅데이터</t>
  </si>
  <si>
    <t>역사, 사회, 시사, 교양, 문화, 세계적 이슈에 대한 정보 수집과 분석 활동을 하는 동아리</t>
  </si>
  <si>
    <t>미디어 마케팅</t>
  </si>
  <si>
    <t>마케팅 환경과 소비자 분석 결과를 토대로 마케팅 프로그램을 계획해 보는 동아리</t>
  </si>
  <si>
    <t>창업 아이디어를 계획해 보는 동아리</t>
  </si>
  <si>
    <t>심리포유</t>
  </si>
  <si>
    <t>심리학 관련 동아리</t>
  </si>
  <si>
    <t>수학 실험 동아리</t>
  </si>
  <si>
    <t>수학 이론을 기반으로 한 실험 활동을 하는 동아리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</si>
</sst>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4.0"/>
      <color rgb="FFFF0000"/>
      <name val="함초롬바탕"/>
    </font>
    <font>
      <b/>
      <sz val="14.0"/>
      <color rgb="FFFF0000"/>
      <name val="Arial"/>
      <scheme val="minor"/>
    </font>
    <font>
      <b/>
      <sz val="14.0"/>
      <color rgb="FF0000FF"/>
      <name val="Arial"/>
      <scheme val="minor"/>
    </font>
    <font>
      <b/>
      <sz val="14.0"/>
      <color theme="1"/>
      <name val="Arial"/>
      <scheme val="minor"/>
    </font>
    <font>
      <b/>
      <sz val="14.0"/>
      <color rgb="FF0000FF"/>
      <name val="함초롬바탕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sz val="12.0"/>
      <color theme="1"/>
      <name val="Arial"/>
    </font>
    <font>
      <sz val="11.0"/>
      <color theme="1"/>
      <name val="Arial"/>
      <scheme val="minor"/>
    </font>
    <font>
      <sz val="12.0"/>
      <color rgb="FF000000"/>
      <name val="굴림"/>
    </font>
    <font>
      <b/>
      <sz val="14.0"/>
      <color rgb="FF000000"/>
      <name val="함초롬바탕"/>
    </font>
    <font>
      <b/>
      <sz val="11.0"/>
      <color theme="1"/>
      <name val="Arial"/>
    </font>
    <font>
      <b/>
      <color theme="1"/>
      <name val="Arial"/>
    </font>
    <font>
      <b/>
      <color rgb="FF000000"/>
      <name val="Arial"/>
    </font>
    <font>
      <color theme="1"/>
      <name val="Arial"/>
    </font>
    <font>
      <color rgb="FF000000"/>
      <name val="Arial"/>
    </font>
    <font>
      <sz val="11.0"/>
      <color theme="1"/>
      <name val="Arial"/>
    </font>
    <font>
      <b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FE6F7"/>
        <bgColor rgb="FFDFE6F7"/>
      </patternFill>
    </fill>
    <fill>
      <patternFill patternType="solid">
        <fgColor rgb="FFFFF7CC"/>
        <bgColor rgb="FFFFF7CC"/>
      </patternFill>
    </fill>
    <fill>
      <patternFill patternType="solid">
        <fgColor rgb="FFFFFFFF"/>
        <bgColor rgb="FFFFFFFF"/>
      </patternFill>
    </fill>
  </fills>
  <borders count="21">
    <border/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5" numFmtId="0" xfId="0" applyAlignment="1" applyFont="1">
      <alignment readingOrder="0"/>
    </xf>
    <xf borderId="1" fillId="2" fontId="6" numFmtId="0" xfId="0" applyAlignment="1" applyBorder="1" applyFill="1" applyFont="1">
      <alignment horizontal="center" readingOrder="0" vertical="center"/>
    </xf>
    <xf borderId="2" fillId="2" fontId="6" numFmtId="0" xfId="0" applyAlignment="1" applyBorder="1" applyFont="1">
      <alignment horizontal="center" readingOrder="0" vertical="center"/>
    </xf>
    <xf borderId="3" fillId="2" fontId="6" numFmtId="0" xfId="0" applyAlignment="1" applyBorder="1" applyFont="1">
      <alignment horizontal="center" readingOrder="0" vertical="center"/>
    </xf>
    <xf borderId="4" fillId="2" fontId="6" numFmtId="0" xfId="0" applyAlignment="1" applyBorder="1" applyFont="1">
      <alignment horizontal="center" readingOrder="0" vertical="center"/>
    </xf>
    <xf borderId="5" fillId="0" fontId="6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readingOrder="0" vertical="center"/>
    </xf>
    <xf borderId="7" fillId="0" fontId="7" numFmtId="0" xfId="0" applyAlignment="1" applyBorder="1" applyFont="1">
      <alignment readingOrder="0" vertical="center"/>
    </xf>
    <xf borderId="8" fillId="0" fontId="7" numFmtId="0" xfId="0" applyAlignment="1" applyBorder="1" applyFont="1">
      <alignment readingOrder="0" vertical="center"/>
    </xf>
    <xf borderId="9" fillId="0" fontId="6" numFmtId="0" xfId="0" applyAlignment="1" applyBorder="1" applyFont="1">
      <alignment horizontal="center" readingOrder="0" vertical="center"/>
    </xf>
    <xf borderId="10" fillId="0" fontId="7" numFmtId="0" xfId="0" applyAlignment="1" applyBorder="1" applyFont="1">
      <alignment readingOrder="0" vertical="center"/>
    </xf>
    <xf borderId="11" fillId="0" fontId="8" numFmtId="0" xfId="0" applyAlignment="1" applyBorder="1" applyFont="1">
      <alignment horizontal="left" readingOrder="0" vertical="center"/>
    </xf>
    <xf borderId="6" fillId="0" fontId="7" numFmtId="0" xfId="0" applyAlignment="1" applyBorder="1" applyFont="1">
      <alignment horizontal="left" readingOrder="0" vertical="center"/>
    </xf>
    <xf borderId="12" fillId="0" fontId="7" numFmtId="0" xfId="0" applyAlignment="1" applyBorder="1" applyFont="1">
      <alignment readingOrder="0" vertical="center"/>
    </xf>
    <xf borderId="13" fillId="0" fontId="7" numFmtId="0" xfId="0" applyAlignment="1" applyBorder="1" applyFont="1">
      <alignment horizontal="left" readingOrder="0" vertical="center"/>
    </xf>
    <xf borderId="10" fillId="0" fontId="7" numFmtId="0" xfId="0" applyAlignment="1" applyBorder="1" applyFont="1">
      <alignment horizontal="left" readingOrder="0" vertical="center"/>
    </xf>
    <xf borderId="11" fillId="0" fontId="7" numFmtId="0" xfId="0" applyAlignment="1" applyBorder="1" applyFont="1">
      <alignment horizontal="left" readingOrder="0" vertical="center"/>
    </xf>
    <xf borderId="11" fillId="0" fontId="7" numFmtId="0" xfId="0" applyAlignment="1" applyBorder="1" applyFont="1">
      <alignment readingOrder="0" vertical="center"/>
    </xf>
    <xf borderId="0" fillId="0" fontId="7" numFmtId="0" xfId="0" applyAlignment="1" applyFont="1">
      <alignment horizontal="left" readingOrder="0" vertical="center"/>
    </xf>
    <xf borderId="11" fillId="0" fontId="8" numFmtId="0" xfId="0" applyAlignment="1" applyBorder="1" applyFont="1">
      <alignment horizontal="left" readingOrder="0" shrinkToFit="0" vertical="center" wrapText="1"/>
    </xf>
    <xf borderId="11" fillId="0" fontId="9" numFmtId="0" xfId="0" applyAlignment="1" applyBorder="1" applyFont="1">
      <alignment readingOrder="0" vertical="center"/>
    </xf>
    <xf borderId="14" fillId="0" fontId="6" numFmtId="0" xfId="0" applyAlignment="1" applyBorder="1" applyFont="1">
      <alignment horizontal="center" readingOrder="0" vertical="center"/>
    </xf>
    <xf borderId="11" fillId="0" fontId="8" numFmtId="0" xfId="0" applyAlignment="1" applyBorder="1" applyFont="1">
      <alignment horizontal="left" vertical="center"/>
    </xf>
    <xf borderId="11" fillId="0" fontId="8" numFmtId="0" xfId="0" applyAlignment="1" applyBorder="1" applyFont="1">
      <alignment horizontal="left" shrinkToFit="0" vertical="center" wrapText="1"/>
    </xf>
    <xf borderId="11" fillId="0" fontId="10" numFmtId="0" xfId="0" applyAlignment="1" applyBorder="1" applyFont="1">
      <alignment readingOrder="0" vertical="center"/>
    </xf>
    <xf borderId="0" fillId="0" fontId="1" numFmtId="0" xfId="0" applyAlignment="1" applyFont="1">
      <alignment readingOrder="0" shrinkToFit="0" wrapText="1"/>
    </xf>
    <xf borderId="0" fillId="0" fontId="11" numFmtId="0" xfId="0" applyAlignment="1" applyFont="1">
      <alignment readingOrder="0"/>
    </xf>
    <xf borderId="0" fillId="0" fontId="7" numFmtId="0" xfId="0" applyFont="1"/>
    <xf borderId="1" fillId="3" fontId="12" numFmtId="0" xfId="0" applyAlignment="1" applyBorder="1" applyFill="1" applyFont="1">
      <alignment horizontal="center" vertical="bottom"/>
    </xf>
    <xf borderId="15" fillId="3" fontId="13" numFmtId="0" xfId="0" applyAlignment="1" applyBorder="1" applyFont="1">
      <alignment horizontal="center" vertical="bottom"/>
    </xf>
    <xf borderId="16" fillId="3" fontId="13" numFmtId="0" xfId="0" applyAlignment="1" applyBorder="1" applyFont="1">
      <alignment horizontal="center" vertical="bottom"/>
    </xf>
    <xf borderId="4" fillId="3" fontId="13" numFmtId="0" xfId="0" applyAlignment="1" applyBorder="1" applyFont="1">
      <alignment horizontal="center" vertical="bottom"/>
    </xf>
    <xf borderId="11" fillId="3" fontId="13" numFmtId="0" xfId="0" applyAlignment="1" applyBorder="1" applyFont="1">
      <alignment horizontal="center" vertical="bottom"/>
    </xf>
    <xf borderId="17" fillId="0" fontId="12" numFmtId="0" xfId="0" applyAlignment="1" applyBorder="1" applyFont="1">
      <alignment horizontal="center" vertical="center"/>
    </xf>
    <xf borderId="11" fillId="0" fontId="14" numFmtId="0" xfId="0" applyAlignment="1" applyBorder="1" applyFont="1">
      <alignment horizontal="center" vertical="center"/>
    </xf>
    <xf borderId="11" fillId="0" fontId="15" numFmtId="0" xfId="0" applyAlignment="1" applyBorder="1" applyFont="1">
      <alignment horizontal="center" vertical="center"/>
    </xf>
    <xf borderId="8" fillId="0" fontId="15" numFmtId="0" xfId="0" applyAlignment="1" applyBorder="1" applyFont="1">
      <alignment horizontal="center" vertical="center"/>
    </xf>
    <xf borderId="13" fillId="0" fontId="15" numFmtId="0" xfId="0" applyAlignment="1" applyBorder="1" applyFont="1">
      <alignment horizontal="center" vertical="center"/>
    </xf>
    <xf borderId="14" fillId="0" fontId="12" numFmtId="0" xfId="0" applyAlignment="1" applyBorder="1" applyFont="1">
      <alignment horizontal="center" vertical="center"/>
    </xf>
    <xf borderId="11" fillId="0" fontId="15" numFmtId="0" xfId="0" applyAlignment="1" applyBorder="1" applyFont="1">
      <alignment horizontal="center" vertical="center"/>
    </xf>
    <xf borderId="18" fillId="0" fontId="15" numFmtId="0" xfId="0" applyAlignment="1" applyBorder="1" applyFont="1">
      <alignment horizontal="center" vertical="center"/>
    </xf>
    <xf borderId="18" fillId="0" fontId="15" numFmtId="0" xfId="0" applyAlignment="1" applyBorder="1" applyFont="1">
      <alignment horizontal="center" readingOrder="0" vertical="center"/>
    </xf>
    <xf borderId="11" fillId="0" fontId="15" numFmtId="0" xfId="0" applyAlignment="1" applyBorder="1" applyFont="1">
      <alignment horizontal="center" readingOrder="0" vertical="center"/>
    </xf>
    <xf borderId="11" fillId="0" fontId="16" numFmtId="0" xfId="0" applyAlignment="1" applyBorder="1" applyFont="1">
      <alignment horizontal="center" vertical="center"/>
    </xf>
    <xf borderId="11" fillId="0" fontId="17" numFmtId="0" xfId="0" applyAlignment="1" applyBorder="1" applyFont="1">
      <alignment horizontal="center" vertical="center"/>
    </xf>
    <xf borderId="0" fillId="0" fontId="7" numFmtId="0" xfId="0" applyAlignment="1" applyFont="1">
      <alignment readingOrder="0"/>
    </xf>
    <xf borderId="11" fillId="0" fontId="14" numFmtId="0" xfId="0" applyAlignment="1" applyBorder="1" applyFont="1">
      <alignment horizontal="center" readingOrder="0" vertical="center"/>
    </xf>
    <xf borderId="11" fillId="4" fontId="14" numFmtId="0" xfId="0" applyAlignment="1" applyBorder="1" applyFill="1" applyFont="1">
      <alignment horizontal="center" vertical="center"/>
    </xf>
    <xf borderId="19" fillId="0" fontId="15" numFmtId="0" xfId="0" applyAlignment="1" applyBorder="1" applyFont="1">
      <alignment horizontal="center" vertical="center"/>
    </xf>
    <xf borderId="11" fillId="0" fontId="13" numFmtId="0" xfId="0" applyAlignment="1" applyBorder="1" applyFont="1">
      <alignment horizontal="center" vertical="center"/>
    </xf>
    <xf borderId="11" fillId="0" fontId="18" numFmtId="0" xfId="0" applyAlignment="1" applyBorder="1" applyFont="1">
      <alignment horizontal="center" readingOrder="0" vertical="center"/>
    </xf>
    <xf borderId="11" fillId="0" fontId="16" numFmtId="0" xfId="0" applyAlignment="1" applyBorder="1" applyFont="1">
      <alignment horizontal="center" readingOrder="0" vertical="center"/>
    </xf>
    <xf borderId="20" fillId="0" fontId="12" numFmtId="0" xfId="0" applyAlignment="1" applyBorder="1" applyFont="1">
      <alignment horizontal="center" readingOrder="0" vertical="center"/>
    </xf>
    <xf borderId="11" fillId="0" fontId="12" numFmtId="0" xfId="0" applyAlignment="1" applyBorder="1" applyFont="1">
      <alignment horizontal="center" readingOrder="0" vertical="center"/>
    </xf>
    <xf borderId="11" fillId="0" fontId="15" numFmtId="0" xfId="0" applyAlignment="1" applyBorder="1" applyFont="1">
      <alignment vertical="center"/>
    </xf>
    <xf borderId="8" fillId="0" fontId="7" numFmtId="0" xfId="0" applyAlignment="1" applyBorder="1" applyFont="1">
      <alignment horizontal="left" readingOrder="0" vertical="center"/>
    </xf>
    <xf borderId="11" fillId="0" fontId="8" numFmtId="0" xfId="0" applyAlignment="1" applyBorder="1" applyFont="1">
      <alignment horizontal="left" vertical="bottom"/>
    </xf>
    <xf borderId="11" fillId="0" fontId="8" numFmtId="0" xfId="0" applyAlignment="1" applyBorder="1" applyFont="1">
      <alignment horizontal="left" readingOrder="0" vertical="bottom"/>
    </xf>
    <xf borderId="11" fillId="0" fontId="8" numFmtId="0" xfId="0" applyAlignment="1" applyBorder="1" applyFont="1">
      <alignment horizontal="left" vertical="bottom"/>
    </xf>
    <xf borderId="11" fillId="0" fontId="8" numFmtId="0" xfId="0" applyAlignment="1" applyBorder="1" applyFont="1">
      <alignment horizontal="left" shrinkToFit="0" vertical="bottom" wrapText="1"/>
    </xf>
    <xf borderId="11" fillId="0" fontId="10" numFmtId="0" xfId="0" applyAlignment="1" applyBorder="1" applyFont="1">
      <alignment readingOrder="0"/>
    </xf>
    <xf borderId="1" fillId="2" fontId="7" numFmtId="0" xfId="0" applyAlignment="1" applyBorder="1" applyFont="1">
      <alignment horizontal="center" readingOrder="0"/>
    </xf>
    <xf borderId="2" fillId="2" fontId="7" numFmtId="0" xfId="0" applyAlignment="1" applyBorder="1" applyFont="1">
      <alignment horizontal="center" readingOrder="0"/>
    </xf>
    <xf borderId="4" fillId="2" fontId="7" numFmtId="0" xfId="0" applyAlignment="1" applyBorder="1" applyFont="1">
      <alignment horizontal="center" readingOrder="0"/>
    </xf>
    <xf borderId="5" fillId="0" fontId="7" numFmtId="0" xfId="0" applyAlignment="1" applyBorder="1" applyFont="1">
      <alignment horizontal="center" readingOrder="0"/>
    </xf>
    <xf borderId="6" fillId="0" fontId="7" numFmtId="0" xfId="0" applyAlignment="1" applyBorder="1" applyFont="1">
      <alignment horizontal="center" readingOrder="0"/>
    </xf>
    <xf borderId="8" fillId="0" fontId="7" numFmtId="0" xfId="0" applyAlignment="1" applyBorder="1" applyFont="1">
      <alignment horizontal="center" readingOrder="0"/>
    </xf>
    <xf borderId="9" fillId="0" fontId="7" numFmtId="0" xfId="0" applyAlignment="1" applyBorder="1" applyFont="1">
      <alignment horizontal="center" readingOrder="0"/>
    </xf>
    <xf borderId="10" fillId="0" fontId="7" numFmtId="0" xfId="0" applyAlignment="1" applyBorder="1" applyFont="1">
      <alignment horizontal="center" readingOrder="0"/>
    </xf>
    <xf borderId="11" fillId="0" fontId="7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7.38"/>
    <col customWidth="1" min="4" max="4" width="22.25"/>
    <col customWidth="1" min="5" max="5" width="133.5"/>
    <col customWidth="1" min="6" max="6" width="50.0"/>
    <col customWidth="1" min="7" max="7" width="30.75"/>
  </cols>
  <sheetData>
    <row r="2">
      <c r="B2" s="1" t="s">
        <v>0</v>
      </c>
      <c r="C2" s="2"/>
      <c r="D2" s="2"/>
      <c r="E2" s="2"/>
      <c r="F2" s="2"/>
      <c r="G2" s="3"/>
      <c r="H2" s="3"/>
      <c r="I2" s="3"/>
      <c r="J2" s="3"/>
      <c r="K2" s="4"/>
      <c r="L2" s="4"/>
      <c r="M2" s="4"/>
      <c r="N2" s="4"/>
    </row>
    <row r="3">
      <c r="B3" s="5"/>
      <c r="C3" s="3"/>
      <c r="D3" s="3"/>
      <c r="E3" s="3"/>
      <c r="F3" s="3"/>
      <c r="G3" s="3"/>
      <c r="H3" s="3"/>
      <c r="I3" s="3"/>
      <c r="J3" s="3"/>
      <c r="K3" s="4"/>
      <c r="L3" s="4"/>
      <c r="M3" s="4"/>
      <c r="N3" s="4"/>
    </row>
    <row r="4">
      <c r="B4" s="6" t="s">
        <v>1</v>
      </c>
      <c r="C4" s="3"/>
      <c r="D4" s="3"/>
      <c r="E4" s="3"/>
      <c r="F4" s="3"/>
      <c r="G4" s="3"/>
      <c r="H4" s="3"/>
      <c r="I4" s="3"/>
      <c r="J4" s="3"/>
      <c r="K4" s="4"/>
      <c r="L4" s="4"/>
      <c r="M4" s="4"/>
      <c r="N4" s="4"/>
    </row>
    <row r="5">
      <c r="B5" s="5"/>
      <c r="C5" s="3"/>
      <c r="D5" s="3"/>
      <c r="E5" s="3"/>
      <c r="F5" s="3"/>
      <c r="G5" s="3"/>
      <c r="H5" s="3"/>
      <c r="I5" s="3"/>
      <c r="J5" s="3"/>
      <c r="K5" s="4"/>
      <c r="L5" s="4"/>
      <c r="M5" s="4"/>
      <c r="N5" s="4"/>
    </row>
    <row r="6">
      <c r="B6" s="6" t="s">
        <v>2</v>
      </c>
      <c r="C6" s="3"/>
      <c r="D6" s="3"/>
      <c r="E6" s="3"/>
      <c r="F6" s="3"/>
      <c r="G6" s="3"/>
      <c r="H6" s="3"/>
      <c r="I6" s="3"/>
      <c r="J6" s="3"/>
      <c r="K6" s="4"/>
      <c r="L6" s="4"/>
      <c r="M6" s="4"/>
      <c r="N6" s="4"/>
    </row>
    <row r="7">
      <c r="B7" s="5"/>
      <c r="C7" s="3"/>
      <c r="D7" s="3"/>
      <c r="E7" s="3"/>
      <c r="F7" s="3"/>
      <c r="G7" s="3"/>
      <c r="H7" s="3"/>
      <c r="I7" s="3"/>
      <c r="J7" s="3"/>
      <c r="K7" s="4"/>
      <c r="L7" s="4"/>
      <c r="M7" s="4"/>
      <c r="N7" s="4"/>
    </row>
    <row r="8">
      <c r="B8" s="6" t="s">
        <v>3</v>
      </c>
      <c r="C8" s="3"/>
      <c r="D8" s="3"/>
      <c r="E8" s="3"/>
      <c r="F8" s="3"/>
      <c r="G8" s="3"/>
      <c r="H8" s="3"/>
      <c r="I8" s="3"/>
      <c r="J8" s="3"/>
      <c r="K8" s="4"/>
      <c r="L8" s="4"/>
      <c r="M8" s="4"/>
      <c r="N8" s="4"/>
    </row>
    <row r="9"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ht="33.75" customHeight="1">
      <c r="B10" s="7" t="s">
        <v>4</v>
      </c>
      <c r="C10" s="8" t="s">
        <v>5</v>
      </c>
      <c r="D10" s="9" t="s">
        <v>6</v>
      </c>
      <c r="E10" s="10" t="s">
        <v>7</v>
      </c>
    </row>
    <row r="11" ht="33.75" customHeight="1">
      <c r="B11" s="11">
        <v>28.0</v>
      </c>
      <c r="C11" s="12" t="s">
        <v>8</v>
      </c>
      <c r="D11" s="13" t="s">
        <v>9</v>
      </c>
      <c r="E11" s="14" t="s">
        <v>10</v>
      </c>
    </row>
    <row r="12" ht="33.75" customHeight="1">
      <c r="B12" s="15">
        <v>29.0</v>
      </c>
      <c r="C12" s="16" t="s">
        <v>11</v>
      </c>
      <c r="D12" s="17" t="s">
        <v>12</v>
      </c>
      <c r="E12" s="17" t="s">
        <v>13</v>
      </c>
    </row>
    <row r="13" ht="33.75" customHeight="1">
      <c r="B13" s="15">
        <v>30.0</v>
      </c>
      <c r="C13" s="18" t="s">
        <v>14</v>
      </c>
      <c r="D13" s="19" t="s">
        <v>15</v>
      </c>
      <c r="E13" s="20" t="s">
        <v>16</v>
      </c>
    </row>
    <row r="14" ht="33.75" customHeight="1">
      <c r="B14" s="15">
        <v>31.0</v>
      </c>
      <c r="C14" s="21" t="s">
        <v>17</v>
      </c>
      <c r="D14" s="22" t="s">
        <v>18</v>
      </c>
      <c r="E14" s="23" t="s">
        <v>19</v>
      </c>
    </row>
    <row r="15" ht="33.75" customHeight="1">
      <c r="B15" s="15">
        <v>32.0</v>
      </c>
      <c r="C15" s="24" t="s">
        <v>20</v>
      </c>
      <c r="D15" s="17" t="s">
        <v>21</v>
      </c>
      <c r="E15" s="17" t="s">
        <v>22</v>
      </c>
    </row>
    <row r="16" ht="33.75" customHeight="1">
      <c r="B16" s="15">
        <v>33.0</v>
      </c>
      <c r="C16" s="16" t="s">
        <v>23</v>
      </c>
      <c r="D16" s="19" t="s">
        <v>24</v>
      </c>
      <c r="E16" s="23" t="s">
        <v>25</v>
      </c>
    </row>
    <row r="17" ht="56.25" customHeight="1">
      <c r="B17" s="15">
        <v>34.0</v>
      </c>
      <c r="C17" s="16" t="s">
        <v>26</v>
      </c>
      <c r="D17" s="17" t="s">
        <v>27</v>
      </c>
      <c r="E17" s="25" t="s">
        <v>28</v>
      </c>
    </row>
    <row r="18" ht="33.75" customHeight="1">
      <c r="B18" s="15">
        <v>35.0</v>
      </c>
      <c r="C18" s="23" t="s">
        <v>29</v>
      </c>
      <c r="D18" s="23" t="s">
        <v>30</v>
      </c>
      <c r="E18" s="23" t="s">
        <v>31</v>
      </c>
    </row>
    <row r="19" ht="33.75" customHeight="1">
      <c r="B19" s="15">
        <v>36.0</v>
      </c>
      <c r="C19" s="16" t="s">
        <v>32</v>
      </c>
      <c r="D19" s="19" t="s">
        <v>33</v>
      </c>
      <c r="E19" s="26" t="s">
        <v>34</v>
      </c>
    </row>
    <row r="20" ht="33.75" customHeight="1">
      <c r="B20" s="27">
        <v>37.0</v>
      </c>
      <c r="C20" s="16" t="s">
        <v>35</v>
      </c>
      <c r="D20" s="19" t="s">
        <v>36</v>
      </c>
      <c r="E20" s="23" t="s">
        <v>37</v>
      </c>
    </row>
    <row r="21" ht="33.75" customHeight="1">
      <c r="B21" s="15">
        <v>38.0</v>
      </c>
      <c r="C21" s="16"/>
      <c r="D21" s="19"/>
      <c r="E21" s="26"/>
    </row>
    <row r="22" ht="33.75" customHeight="1">
      <c r="B22" s="15">
        <v>39.0</v>
      </c>
      <c r="C22" s="16"/>
      <c r="D22" s="19"/>
      <c r="E22" s="23"/>
    </row>
    <row r="23" ht="33.75" customHeight="1">
      <c r="B23" s="15">
        <v>40.0</v>
      </c>
      <c r="C23" s="16"/>
      <c r="D23" s="28"/>
      <c r="E23" s="28"/>
    </row>
    <row r="24" ht="33.75" customHeight="1">
      <c r="B24" s="15">
        <v>41.0</v>
      </c>
      <c r="C24" s="16"/>
      <c r="D24" s="28"/>
      <c r="E24" s="29"/>
    </row>
    <row r="25" ht="39.0" customHeight="1">
      <c r="B25" s="15">
        <v>42.0</v>
      </c>
      <c r="C25" s="16"/>
      <c r="D25" s="28"/>
      <c r="E25" s="30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38"/>
    <col customWidth="1" min="4" max="4" width="53.75"/>
    <col customWidth="1" min="5" max="5" width="13.13"/>
    <col customWidth="1" min="6" max="9" width="5.13"/>
  </cols>
  <sheetData>
    <row r="1">
      <c r="B1" s="31" t="s">
        <v>38</v>
      </c>
    </row>
    <row r="2">
      <c r="B2" s="32" t="s">
        <v>39</v>
      </c>
      <c r="F2" s="3"/>
      <c r="G2" s="3"/>
      <c r="H2" s="4"/>
      <c r="I2" s="4"/>
      <c r="J2" s="4"/>
      <c r="K2" s="4"/>
    </row>
    <row r="3">
      <c r="B3" s="6" t="s">
        <v>40</v>
      </c>
      <c r="F3" s="3"/>
      <c r="G3" s="3"/>
      <c r="H3" s="4"/>
      <c r="I3" s="4"/>
      <c r="J3" s="4"/>
      <c r="K3" s="4"/>
    </row>
    <row r="4">
      <c r="B4" s="1" t="s">
        <v>41</v>
      </c>
      <c r="F4" s="3"/>
      <c r="G4" s="3"/>
      <c r="H4" s="4"/>
      <c r="I4" s="4"/>
      <c r="J4" s="4"/>
      <c r="K4" s="4"/>
    </row>
    <row r="5">
      <c r="B5" s="32" t="s">
        <v>42</v>
      </c>
      <c r="F5" s="3"/>
      <c r="G5" s="3"/>
      <c r="H5" s="4"/>
      <c r="I5" s="4"/>
      <c r="J5" s="4"/>
      <c r="K5" s="4"/>
    </row>
    <row r="6">
      <c r="B6" s="32" t="s">
        <v>3</v>
      </c>
      <c r="F6" s="3"/>
      <c r="G6" s="3"/>
      <c r="H6" s="4"/>
      <c r="I6" s="4"/>
      <c r="J6" s="4"/>
      <c r="K6" s="4"/>
    </row>
    <row r="7">
      <c r="B7" s="5"/>
      <c r="C7" s="4"/>
      <c r="D7" s="4"/>
      <c r="E7" s="4"/>
      <c r="F7" s="4"/>
      <c r="G7" s="4"/>
      <c r="H7" s="4"/>
      <c r="I7" s="4"/>
      <c r="J7" s="4"/>
      <c r="K7" s="4"/>
    </row>
    <row r="8">
      <c r="A8" s="33"/>
      <c r="B8" s="34" t="s">
        <v>4</v>
      </c>
      <c r="C8" s="35" t="s">
        <v>43</v>
      </c>
      <c r="D8" s="36" t="s">
        <v>7</v>
      </c>
      <c r="E8" s="37" t="s">
        <v>44</v>
      </c>
      <c r="F8" s="38" t="s">
        <v>45</v>
      </c>
      <c r="G8" s="38" t="s">
        <v>46</v>
      </c>
      <c r="H8" s="38" t="s">
        <v>47</v>
      </c>
      <c r="I8" s="38" t="s">
        <v>48</v>
      </c>
      <c r="J8" s="38" t="s">
        <v>49</v>
      </c>
      <c r="K8" s="38" t="s">
        <v>50</v>
      </c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</row>
    <row r="9" ht="30.0" customHeight="1">
      <c r="A9" s="33"/>
      <c r="B9" s="39">
        <v>1.0</v>
      </c>
      <c r="C9" s="40" t="s">
        <v>51</v>
      </c>
      <c r="D9" s="41" t="s">
        <v>52</v>
      </c>
      <c r="E9" s="42" t="s">
        <v>53</v>
      </c>
      <c r="F9" s="40">
        <f t="shared" ref="F9:F32" si="1">SUM(G9,H9,I9)</f>
        <v>34</v>
      </c>
      <c r="G9" s="43">
        <v>11.0</v>
      </c>
      <c r="H9" s="43">
        <v>17.0</v>
      </c>
      <c r="I9" s="43">
        <v>6.0</v>
      </c>
      <c r="J9" s="41" t="s">
        <v>54</v>
      </c>
      <c r="K9" s="41">
        <v>20827.0</v>
      </c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</row>
    <row r="10" ht="30.0" customHeight="1">
      <c r="A10" s="33"/>
      <c r="B10" s="44">
        <v>2.0</v>
      </c>
      <c r="C10" s="40" t="s">
        <v>55</v>
      </c>
      <c r="D10" s="41" t="s">
        <v>56</v>
      </c>
      <c r="E10" s="45" t="s">
        <v>57</v>
      </c>
      <c r="F10" s="40">
        <f t="shared" si="1"/>
        <v>35</v>
      </c>
      <c r="G10" s="46">
        <v>11.0</v>
      </c>
      <c r="H10" s="46">
        <v>13.0</v>
      </c>
      <c r="I10" s="47">
        <v>11.0</v>
      </c>
      <c r="J10" s="46" t="s">
        <v>58</v>
      </c>
      <c r="K10" s="46">
        <v>20123.0</v>
      </c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</row>
    <row r="11" ht="30.0" customHeight="1">
      <c r="A11" s="33"/>
      <c r="B11" s="44">
        <v>3.0</v>
      </c>
      <c r="C11" s="40" t="s">
        <v>59</v>
      </c>
      <c r="D11" s="41" t="s">
        <v>60</v>
      </c>
      <c r="E11" s="48" t="s">
        <v>61</v>
      </c>
      <c r="F11" s="40">
        <f t="shared" si="1"/>
        <v>36</v>
      </c>
      <c r="G11" s="46">
        <v>14.0</v>
      </c>
      <c r="H11" s="46">
        <v>19.0</v>
      </c>
      <c r="I11" s="46">
        <v>3.0</v>
      </c>
      <c r="J11" s="46" t="s">
        <v>62</v>
      </c>
      <c r="K11" s="46">
        <v>20319.0</v>
      </c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</row>
    <row r="12" ht="30.0" customHeight="1">
      <c r="A12" s="33"/>
      <c r="B12" s="44">
        <v>4.0</v>
      </c>
      <c r="C12" s="40" t="s">
        <v>63</v>
      </c>
      <c r="D12" s="41" t="s">
        <v>64</v>
      </c>
      <c r="E12" s="48" t="s">
        <v>65</v>
      </c>
      <c r="F12" s="40">
        <f t="shared" si="1"/>
        <v>34</v>
      </c>
      <c r="G12" s="46">
        <v>10.0</v>
      </c>
      <c r="H12" s="46">
        <v>17.0</v>
      </c>
      <c r="I12" s="46">
        <v>7.0</v>
      </c>
      <c r="J12" s="46" t="s">
        <v>66</v>
      </c>
      <c r="K12" s="46">
        <v>20626.0</v>
      </c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</row>
    <row r="13" ht="30.0" customHeight="1">
      <c r="A13" s="33"/>
      <c r="B13" s="44">
        <v>5.0</v>
      </c>
      <c r="C13" s="40" t="s">
        <v>67</v>
      </c>
      <c r="D13" s="41" t="s">
        <v>68</v>
      </c>
      <c r="E13" s="48" t="s">
        <v>69</v>
      </c>
      <c r="F13" s="40">
        <f t="shared" si="1"/>
        <v>17</v>
      </c>
      <c r="G13" s="41">
        <v>9.0</v>
      </c>
      <c r="H13" s="41">
        <v>8.0</v>
      </c>
      <c r="I13" s="41">
        <v>0.0</v>
      </c>
      <c r="J13" s="41" t="s">
        <v>70</v>
      </c>
      <c r="K13" s="41">
        <v>20105.0</v>
      </c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</row>
    <row r="14" ht="30.0" customHeight="1">
      <c r="A14" s="33"/>
      <c r="B14" s="44">
        <v>6.0</v>
      </c>
      <c r="C14" s="40" t="s">
        <v>71</v>
      </c>
      <c r="D14" s="41" t="s">
        <v>72</v>
      </c>
      <c r="E14" s="48" t="s">
        <v>73</v>
      </c>
      <c r="F14" s="49">
        <f t="shared" si="1"/>
        <v>23</v>
      </c>
      <c r="G14" s="41">
        <v>6.0</v>
      </c>
      <c r="H14" s="48">
        <v>14.0</v>
      </c>
      <c r="I14" s="41">
        <v>3.0</v>
      </c>
      <c r="J14" s="41" t="s">
        <v>74</v>
      </c>
      <c r="K14" s="50">
        <v>20607.0</v>
      </c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</row>
    <row r="15" ht="30.0" customHeight="1">
      <c r="A15" s="33"/>
      <c r="B15" s="44">
        <v>7.0</v>
      </c>
      <c r="C15" s="40" t="s">
        <v>75</v>
      </c>
      <c r="D15" s="41" t="s">
        <v>76</v>
      </c>
      <c r="E15" s="48" t="s">
        <v>77</v>
      </c>
      <c r="F15" s="49">
        <f t="shared" si="1"/>
        <v>25</v>
      </c>
      <c r="G15" s="48">
        <v>10.0</v>
      </c>
      <c r="H15" s="48">
        <v>15.0</v>
      </c>
      <c r="I15" s="41">
        <v>0.0</v>
      </c>
      <c r="J15" s="41" t="s">
        <v>78</v>
      </c>
      <c r="K15" s="41">
        <v>20215.0</v>
      </c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</row>
    <row r="16" ht="30.0" customHeight="1">
      <c r="A16" s="33"/>
      <c r="B16" s="44">
        <v>8.0</v>
      </c>
      <c r="C16" s="40" t="s">
        <v>79</v>
      </c>
      <c r="D16" s="41" t="s">
        <v>80</v>
      </c>
      <c r="E16" s="48" t="s">
        <v>81</v>
      </c>
      <c r="F16" s="40">
        <f t="shared" si="1"/>
        <v>29</v>
      </c>
      <c r="G16" s="48">
        <v>14.0</v>
      </c>
      <c r="H16" s="41">
        <v>15.0</v>
      </c>
      <c r="I16" s="41">
        <v>0.0</v>
      </c>
      <c r="J16" s="41" t="s">
        <v>82</v>
      </c>
      <c r="K16" s="41">
        <v>20816.0</v>
      </c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</row>
    <row r="17" ht="30.0" customHeight="1">
      <c r="A17" s="33"/>
      <c r="B17" s="44">
        <v>9.0</v>
      </c>
      <c r="C17" s="40" t="s">
        <v>83</v>
      </c>
      <c r="D17" s="41" t="s">
        <v>84</v>
      </c>
      <c r="E17" s="48" t="s">
        <v>85</v>
      </c>
      <c r="F17" s="40">
        <f t="shared" si="1"/>
        <v>20</v>
      </c>
      <c r="G17" s="48">
        <v>15.0</v>
      </c>
      <c r="H17" s="48">
        <v>5.0</v>
      </c>
      <c r="I17" s="41">
        <v>0.0</v>
      </c>
      <c r="J17" s="41" t="s">
        <v>86</v>
      </c>
      <c r="K17" s="41">
        <v>20326.0</v>
      </c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</row>
    <row r="18" ht="30.0" customHeight="1">
      <c r="A18" s="33"/>
      <c r="B18" s="44">
        <v>10.0</v>
      </c>
      <c r="C18" s="40" t="s">
        <v>87</v>
      </c>
      <c r="D18" s="41" t="s">
        <v>88</v>
      </c>
      <c r="E18" s="41" t="s">
        <v>89</v>
      </c>
      <c r="F18" s="40">
        <f t="shared" si="1"/>
        <v>15</v>
      </c>
      <c r="G18" s="46">
        <v>6.0</v>
      </c>
      <c r="H18" s="46">
        <v>9.0</v>
      </c>
      <c r="I18" s="46">
        <v>0.0</v>
      </c>
      <c r="J18" s="46" t="s">
        <v>90</v>
      </c>
      <c r="K18" s="46">
        <v>20420.0</v>
      </c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</row>
    <row r="19" ht="30.0" customHeight="1">
      <c r="A19" s="33"/>
      <c r="B19" s="44">
        <v>11.0</v>
      </c>
      <c r="C19" s="40" t="s">
        <v>91</v>
      </c>
      <c r="D19" s="41" t="s">
        <v>92</v>
      </c>
      <c r="E19" s="41" t="s">
        <v>93</v>
      </c>
      <c r="F19" s="40">
        <f t="shared" si="1"/>
        <v>12</v>
      </c>
      <c r="G19" s="48">
        <v>4.0</v>
      </c>
      <c r="H19" s="48">
        <v>8.0</v>
      </c>
      <c r="I19" s="48">
        <v>0.0</v>
      </c>
      <c r="J19" s="41" t="s">
        <v>94</v>
      </c>
      <c r="K19" s="41">
        <v>20305.0</v>
      </c>
      <c r="L19" s="51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</row>
    <row r="20" ht="30.0" customHeight="1">
      <c r="A20" s="33"/>
      <c r="B20" s="44">
        <v>12.0</v>
      </c>
      <c r="C20" s="40" t="s">
        <v>95</v>
      </c>
      <c r="D20" s="41" t="s">
        <v>96</v>
      </c>
      <c r="E20" s="41" t="s">
        <v>97</v>
      </c>
      <c r="F20" s="40">
        <f t="shared" si="1"/>
        <v>21</v>
      </c>
      <c r="G20" s="46">
        <v>8.0</v>
      </c>
      <c r="H20" s="46">
        <v>13.0</v>
      </c>
      <c r="I20" s="46">
        <v>0.0</v>
      </c>
      <c r="J20" s="46" t="s">
        <v>98</v>
      </c>
      <c r="K20" s="46">
        <v>20610.0</v>
      </c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</row>
    <row r="21" ht="30.0" customHeight="1">
      <c r="A21" s="33"/>
      <c r="B21" s="44">
        <v>13.0</v>
      </c>
      <c r="C21" s="52" t="s">
        <v>99</v>
      </c>
      <c r="D21" s="41" t="s">
        <v>100</v>
      </c>
      <c r="E21" s="41" t="s">
        <v>101</v>
      </c>
      <c r="F21" s="40">
        <f t="shared" si="1"/>
        <v>13</v>
      </c>
      <c r="G21" s="41">
        <v>2.0</v>
      </c>
      <c r="H21" s="48">
        <v>11.0</v>
      </c>
      <c r="I21" s="41">
        <v>0.0</v>
      </c>
      <c r="J21" s="41" t="s">
        <v>102</v>
      </c>
      <c r="K21" s="41">
        <v>21025.0</v>
      </c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</row>
    <row r="22" ht="30.0" customHeight="1">
      <c r="A22" s="33"/>
      <c r="B22" s="44">
        <v>14.0</v>
      </c>
      <c r="C22" s="40" t="s">
        <v>103</v>
      </c>
      <c r="D22" s="41" t="s">
        <v>104</v>
      </c>
      <c r="E22" s="48" t="s">
        <v>105</v>
      </c>
      <c r="F22" s="40">
        <f t="shared" si="1"/>
        <v>20</v>
      </c>
      <c r="G22" s="41">
        <v>7.0</v>
      </c>
      <c r="H22" s="41">
        <v>12.0</v>
      </c>
      <c r="I22" s="48">
        <v>1.0</v>
      </c>
      <c r="J22" s="41" t="s">
        <v>106</v>
      </c>
      <c r="K22" s="41">
        <v>20222.0</v>
      </c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</row>
    <row r="23" ht="30.0" customHeight="1">
      <c r="A23" s="33"/>
      <c r="B23" s="44">
        <v>15.0</v>
      </c>
      <c r="C23" s="52" t="s">
        <v>107</v>
      </c>
      <c r="D23" s="41" t="s">
        <v>108</v>
      </c>
      <c r="E23" s="48" t="s">
        <v>109</v>
      </c>
      <c r="F23" s="40">
        <f t="shared" si="1"/>
        <v>11</v>
      </c>
      <c r="G23" s="47">
        <v>6.0</v>
      </c>
      <c r="H23" s="46">
        <v>2.0</v>
      </c>
      <c r="I23" s="46">
        <v>3.0</v>
      </c>
      <c r="J23" s="46" t="s">
        <v>110</v>
      </c>
      <c r="K23" s="41">
        <v>20106.0</v>
      </c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</row>
    <row r="24" ht="30.0" customHeight="1">
      <c r="A24" s="33"/>
      <c r="B24" s="44">
        <v>16.0</v>
      </c>
      <c r="C24" s="40" t="s">
        <v>111</v>
      </c>
      <c r="D24" s="41" t="s">
        <v>112</v>
      </c>
      <c r="E24" s="41" t="s">
        <v>113</v>
      </c>
      <c r="F24" s="40">
        <f t="shared" si="1"/>
        <v>15</v>
      </c>
      <c r="G24" s="41">
        <v>6.0</v>
      </c>
      <c r="H24" s="41">
        <v>9.0</v>
      </c>
      <c r="I24" s="41">
        <v>0.0</v>
      </c>
      <c r="J24" s="41" t="s">
        <v>86</v>
      </c>
      <c r="K24" s="41">
        <v>20625.0</v>
      </c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</row>
    <row r="25" ht="30.0" customHeight="1">
      <c r="A25" s="33"/>
      <c r="B25" s="44">
        <v>17.0</v>
      </c>
      <c r="C25" s="40" t="s">
        <v>114</v>
      </c>
      <c r="D25" s="41" t="s">
        <v>115</v>
      </c>
      <c r="E25" s="48" t="s">
        <v>116</v>
      </c>
      <c r="F25" s="53">
        <f t="shared" si="1"/>
        <v>20</v>
      </c>
      <c r="G25" s="48">
        <v>11.0</v>
      </c>
      <c r="H25" s="48">
        <v>9.0</v>
      </c>
      <c r="I25" s="48">
        <v>0.0</v>
      </c>
      <c r="J25" s="41" t="s">
        <v>117</v>
      </c>
      <c r="K25" s="46">
        <v>20704.0</v>
      </c>
      <c r="L25" s="51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</row>
    <row r="26" ht="30.0" customHeight="1">
      <c r="A26" s="33"/>
      <c r="B26" s="44">
        <v>18.0</v>
      </c>
      <c r="C26" s="40" t="s">
        <v>118</v>
      </c>
      <c r="D26" s="41" t="s">
        <v>119</v>
      </c>
      <c r="E26" s="41" t="s">
        <v>120</v>
      </c>
      <c r="F26" s="40">
        <f t="shared" si="1"/>
        <v>16</v>
      </c>
      <c r="G26" s="48">
        <v>7.0</v>
      </c>
      <c r="H26" s="41">
        <v>8.0</v>
      </c>
      <c r="I26" s="41">
        <v>1.0</v>
      </c>
      <c r="J26" s="41" t="s">
        <v>121</v>
      </c>
      <c r="K26" s="41">
        <v>10214.0</v>
      </c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</row>
    <row r="27" ht="30.0" customHeight="1">
      <c r="A27" s="33"/>
      <c r="B27" s="44">
        <v>19.0</v>
      </c>
      <c r="C27" s="40" t="s">
        <v>122</v>
      </c>
      <c r="D27" s="41" t="s">
        <v>123</v>
      </c>
      <c r="E27" s="48" t="s">
        <v>124</v>
      </c>
      <c r="F27" s="40">
        <f t="shared" si="1"/>
        <v>20</v>
      </c>
      <c r="G27" s="48">
        <v>12.0</v>
      </c>
      <c r="H27" s="48">
        <v>1.0</v>
      </c>
      <c r="I27" s="48">
        <v>7.0</v>
      </c>
      <c r="J27" s="54" t="s">
        <v>125</v>
      </c>
      <c r="K27" s="54">
        <v>20911.0</v>
      </c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</row>
    <row r="28" ht="30.0" customHeight="1">
      <c r="A28" s="33"/>
      <c r="B28" s="44">
        <v>20.0</v>
      </c>
      <c r="C28" s="40" t="s">
        <v>126</v>
      </c>
      <c r="D28" s="41" t="s">
        <v>127</v>
      </c>
      <c r="E28" s="41" t="s">
        <v>128</v>
      </c>
      <c r="F28" s="40">
        <f t="shared" si="1"/>
        <v>27</v>
      </c>
      <c r="G28" s="41">
        <v>4.0</v>
      </c>
      <c r="H28" s="41">
        <v>23.0</v>
      </c>
      <c r="I28" s="41">
        <v>0.0</v>
      </c>
      <c r="J28" s="41" t="s">
        <v>129</v>
      </c>
      <c r="K28" s="41">
        <v>20221.0</v>
      </c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</row>
    <row r="29" ht="30.0" customHeight="1">
      <c r="A29" s="33"/>
      <c r="B29" s="44">
        <v>21.0</v>
      </c>
      <c r="C29" s="40" t="s">
        <v>130</v>
      </c>
      <c r="D29" s="41" t="s">
        <v>131</v>
      </c>
      <c r="E29" s="48" t="s">
        <v>132</v>
      </c>
      <c r="F29" s="40">
        <f t="shared" si="1"/>
        <v>25</v>
      </c>
      <c r="G29" s="41">
        <v>10.0</v>
      </c>
      <c r="H29" s="41">
        <v>15.0</v>
      </c>
      <c r="I29" s="41">
        <v>0.0</v>
      </c>
      <c r="J29" s="46" t="s">
        <v>133</v>
      </c>
      <c r="K29" s="41">
        <v>20707.0</v>
      </c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</row>
    <row r="30" ht="30.0" customHeight="1">
      <c r="A30" s="33"/>
      <c r="B30" s="44">
        <v>22.0</v>
      </c>
      <c r="C30" s="55" t="s">
        <v>134</v>
      </c>
      <c r="D30" s="41" t="s">
        <v>135</v>
      </c>
      <c r="E30" s="45" t="s">
        <v>136</v>
      </c>
      <c r="F30" s="40">
        <f t="shared" si="1"/>
        <v>13</v>
      </c>
      <c r="G30" s="41">
        <v>6.0</v>
      </c>
      <c r="H30" s="41">
        <v>7.0</v>
      </c>
      <c r="I30" s="41">
        <v>0.0</v>
      </c>
      <c r="J30" s="41" t="s">
        <v>137</v>
      </c>
      <c r="K30" s="41">
        <v>21024.0</v>
      </c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</row>
    <row r="31" ht="30.0" customHeight="1">
      <c r="A31" s="33"/>
      <c r="B31" s="44">
        <v>23.0</v>
      </c>
      <c r="C31" s="56" t="s">
        <v>138</v>
      </c>
      <c r="D31" s="41" t="s">
        <v>139</v>
      </c>
      <c r="E31" s="57" t="s">
        <v>140</v>
      </c>
      <c r="F31" s="40">
        <f t="shared" si="1"/>
        <v>12</v>
      </c>
      <c r="G31" s="48">
        <v>12.0</v>
      </c>
      <c r="H31" s="41">
        <v>0.0</v>
      </c>
      <c r="I31" s="41">
        <v>0.0</v>
      </c>
      <c r="J31" s="41" t="s">
        <v>141</v>
      </c>
      <c r="K31" s="41">
        <v>10529.0</v>
      </c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</row>
    <row r="32" ht="30.0" customHeight="1">
      <c r="A32" s="33"/>
      <c r="B32" s="44">
        <v>24.0</v>
      </c>
      <c r="C32" s="55" t="s">
        <v>142</v>
      </c>
      <c r="D32" s="45" t="s">
        <v>143</v>
      </c>
      <c r="E32" s="41" t="s">
        <v>144</v>
      </c>
      <c r="F32" s="40">
        <f t="shared" si="1"/>
        <v>15</v>
      </c>
      <c r="G32" s="48">
        <v>15.0</v>
      </c>
      <c r="H32" s="48">
        <v>0.0</v>
      </c>
      <c r="I32" s="48">
        <v>0.0</v>
      </c>
      <c r="J32" s="41" t="s">
        <v>145</v>
      </c>
      <c r="K32" s="41">
        <v>10711.0</v>
      </c>
      <c r="L32" s="51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ht="30.0" customHeight="1">
      <c r="A33" s="33"/>
      <c r="B33" s="44">
        <v>25.0</v>
      </c>
      <c r="C33" s="55" t="s">
        <v>146</v>
      </c>
      <c r="D33" s="41" t="s">
        <v>147</v>
      </c>
      <c r="E33" s="49" t="s">
        <v>148</v>
      </c>
      <c r="F33" s="52">
        <v>14.0</v>
      </c>
      <c r="G33" s="48">
        <v>14.0</v>
      </c>
      <c r="H33" s="48">
        <v>0.0</v>
      </c>
      <c r="I33" s="48">
        <v>0.0</v>
      </c>
      <c r="J33" s="41" t="s">
        <v>149</v>
      </c>
      <c r="K33" s="41">
        <v>11025.0</v>
      </c>
      <c r="L33" s="51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 ht="43.5" customHeight="1">
      <c r="A34" s="33"/>
      <c r="B34" s="58">
        <v>26.0</v>
      </c>
      <c r="C34" s="56" t="s">
        <v>150</v>
      </c>
      <c r="D34" s="48" t="s">
        <v>68</v>
      </c>
      <c r="E34" s="48" t="s">
        <v>151</v>
      </c>
      <c r="F34" s="40">
        <f>SUM(G34,H34,I34)</f>
        <v>12</v>
      </c>
      <c r="G34" s="48">
        <v>8.0</v>
      </c>
      <c r="H34" s="48">
        <v>4.0</v>
      </c>
      <c r="I34" s="48">
        <v>0.0</v>
      </c>
      <c r="J34" s="48" t="s">
        <v>152</v>
      </c>
      <c r="K34" s="48">
        <v>21023.0</v>
      </c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>
      <c r="B35" s="59">
        <v>27.0</v>
      </c>
      <c r="C35" s="55" t="s">
        <v>153</v>
      </c>
      <c r="D35" s="41" t="s">
        <v>154</v>
      </c>
      <c r="E35" s="41" t="s">
        <v>155</v>
      </c>
      <c r="F35" s="40">
        <v>21.0</v>
      </c>
      <c r="G35" s="41">
        <v>7.0</v>
      </c>
      <c r="H35" s="41">
        <v>10.0</v>
      </c>
      <c r="I35" s="41">
        <v>4.0</v>
      </c>
      <c r="J35" s="60"/>
      <c r="K35" s="60"/>
    </row>
    <row r="36" ht="33.0" customHeight="1"/>
  </sheetData>
  <mergeCells count="6">
    <mergeCell ref="B1:K1"/>
    <mergeCell ref="B2:E2"/>
    <mergeCell ref="B3:E3"/>
    <mergeCell ref="B4:E4"/>
    <mergeCell ref="B5:E5"/>
    <mergeCell ref="B6:E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7.38"/>
    <col customWidth="1" min="4" max="4" width="22.25"/>
    <col customWidth="1" min="5" max="5" width="101.13"/>
    <col customWidth="1" min="6" max="6" width="50.0"/>
    <col customWidth="1" min="7" max="7" width="30.75"/>
  </cols>
  <sheetData>
    <row r="2">
      <c r="B2" s="1" t="s">
        <v>0</v>
      </c>
      <c r="C2" s="2"/>
      <c r="D2" s="2"/>
      <c r="E2" s="2"/>
      <c r="F2" s="2"/>
      <c r="G2" s="3"/>
      <c r="H2" s="3"/>
      <c r="I2" s="3"/>
      <c r="J2" s="3"/>
      <c r="K2" s="4"/>
      <c r="L2" s="4"/>
      <c r="M2" s="4"/>
      <c r="N2" s="4"/>
    </row>
    <row r="3">
      <c r="B3" s="5"/>
      <c r="C3" s="3"/>
      <c r="D3" s="3"/>
      <c r="E3" s="3"/>
      <c r="F3" s="3"/>
      <c r="G3" s="3"/>
      <c r="H3" s="3"/>
      <c r="I3" s="3"/>
      <c r="J3" s="3"/>
      <c r="K3" s="4"/>
      <c r="L3" s="4"/>
      <c r="M3" s="4"/>
      <c r="N3" s="4"/>
    </row>
    <row r="4">
      <c r="B4" s="6" t="s">
        <v>1</v>
      </c>
      <c r="C4" s="3"/>
      <c r="D4" s="3"/>
      <c r="E4" s="3"/>
      <c r="F4" s="3"/>
      <c r="G4" s="3"/>
      <c r="H4" s="3"/>
      <c r="I4" s="3"/>
      <c r="J4" s="3"/>
      <c r="K4" s="4"/>
      <c r="L4" s="4"/>
      <c r="M4" s="4"/>
      <c r="N4" s="4"/>
    </row>
    <row r="5">
      <c r="B5" s="5"/>
      <c r="C5" s="3"/>
      <c r="D5" s="3"/>
      <c r="E5" s="3"/>
      <c r="F5" s="3"/>
      <c r="G5" s="3"/>
      <c r="H5" s="3"/>
      <c r="I5" s="3"/>
      <c r="J5" s="3"/>
      <c r="K5" s="4"/>
      <c r="L5" s="4"/>
      <c r="M5" s="4"/>
      <c r="N5" s="4"/>
    </row>
    <row r="6">
      <c r="B6" s="6" t="s">
        <v>2</v>
      </c>
      <c r="C6" s="3"/>
      <c r="D6" s="3"/>
      <c r="E6" s="3"/>
      <c r="F6" s="3"/>
      <c r="G6" s="3"/>
      <c r="H6" s="3"/>
      <c r="I6" s="3"/>
      <c r="J6" s="3"/>
      <c r="K6" s="4"/>
      <c r="L6" s="4"/>
      <c r="M6" s="4"/>
      <c r="N6" s="4"/>
    </row>
    <row r="7">
      <c r="B7" s="5"/>
      <c r="C7" s="3"/>
      <c r="D7" s="3"/>
      <c r="E7" s="3"/>
      <c r="F7" s="3"/>
      <c r="G7" s="3"/>
      <c r="H7" s="3"/>
      <c r="I7" s="3"/>
      <c r="J7" s="3"/>
      <c r="K7" s="4"/>
      <c r="L7" s="4"/>
      <c r="M7" s="4"/>
      <c r="N7" s="4"/>
    </row>
    <row r="8">
      <c r="B8" s="6" t="s">
        <v>3</v>
      </c>
      <c r="C8" s="3"/>
      <c r="D8" s="3"/>
      <c r="E8" s="3"/>
      <c r="F8" s="3"/>
      <c r="G8" s="3"/>
      <c r="H8" s="3"/>
      <c r="I8" s="3"/>
      <c r="J8" s="3"/>
      <c r="K8" s="4"/>
      <c r="L8" s="4"/>
      <c r="M8" s="4"/>
      <c r="N8" s="4"/>
    </row>
    <row r="9"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ht="33.75" customHeight="1">
      <c r="B10" s="7" t="s">
        <v>4</v>
      </c>
      <c r="C10" s="8" t="s">
        <v>5</v>
      </c>
      <c r="D10" s="9" t="s">
        <v>6</v>
      </c>
      <c r="E10" s="10" t="s">
        <v>7</v>
      </c>
    </row>
    <row r="11" ht="33.75" customHeight="1">
      <c r="B11" s="11">
        <v>28.0</v>
      </c>
      <c r="C11" s="12" t="s">
        <v>156</v>
      </c>
      <c r="D11" s="13" t="s">
        <v>157</v>
      </c>
      <c r="E11" s="14" t="s">
        <v>158</v>
      </c>
    </row>
    <row r="12" ht="33.75" customHeight="1">
      <c r="B12" s="15">
        <v>29.0</v>
      </c>
      <c r="C12" s="16" t="s">
        <v>159</v>
      </c>
      <c r="D12" s="19" t="s">
        <v>24</v>
      </c>
      <c r="E12" s="23" t="s">
        <v>25</v>
      </c>
    </row>
    <row r="13" ht="33.75" customHeight="1">
      <c r="B13" s="15">
        <v>30.0</v>
      </c>
      <c r="C13" s="18" t="s">
        <v>160</v>
      </c>
      <c r="D13" s="19" t="s">
        <v>161</v>
      </c>
      <c r="E13" s="61" t="s">
        <v>162</v>
      </c>
    </row>
    <row r="14" ht="33.75" customHeight="1">
      <c r="B14" s="15">
        <v>31.0</v>
      </c>
      <c r="C14" s="16" t="s">
        <v>163</v>
      </c>
      <c r="D14" s="19" t="s">
        <v>164</v>
      </c>
      <c r="E14" s="23" t="s">
        <v>165</v>
      </c>
    </row>
    <row r="15" ht="33.75" customHeight="1">
      <c r="B15" s="15">
        <v>32.0</v>
      </c>
      <c r="C15" s="21" t="s">
        <v>166</v>
      </c>
      <c r="D15" s="22" t="s">
        <v>167</v>
      </c>
      <c r="E15" s="22" t="s">
        <v>168</v>
      </c>
    </row>
    <row r="16" ht="33.75" customHeight="1">
      <c r="B16" s="15">
        <v>33.0</v>
      </c>
      <c r="C16" s="21" t="s">
        <v>169</v>
      </c>
      <c r="D16" s="62" t="s">
        <v>170</v>
      </c>
      <c r="E16" s="63" t="s">
        <v>171</v>
      </c>
    </row>
    <row r="17" ht="33.75" customHeight="1">
      <c r="B17" s="15">
        <v>34.0</v>
      </c>
      <c r="C17" s="16" t="s">
        <v>172</v>
      </c>
      <c r="D17" s="62" t="s">
        <v>173</v>
      </c>
      <c r="E17" s="63" t="s">
        <v>174</v>
      </c>
    </row>
    <row r="18" ht="33.75" customHeight="1">
      <c r="B18" s="15">
        <v>35.0</v>
      </c>
      <c r="C18" s="16" t="s">
        <v>175</v>
      </c>
      <c r="D18" s="64" t="s">
        <v>176</v>
      </c>
      <c r="E18" s="64" t="s">
        <v>177</v>
      </c>
    </row>
    <row r="19" ht="33.75" customHeight="1">
      <c r="B19" s="15">
        <v>36.0</v>
      </c>
      <c r="C19" s="16" t="s">
        <v>178</v>
      </c>
      <c r="D19" s="64" t="s">
        <v>15</v>
      </c>
      <c r="E19" s="64" t="s">
        <v>179</v>
      </c>
    </row>
    <row r="20" ht="33.75" customHeight="1">
      <c r="B20" s="15">
        <v>37.0</v>
      </c>
      <c r="C20" s="16" t="s">
        <v>180</v>
      </c>
      <c r="D20" s="64" t="s">
        <v>181</v>
      </c>
      <c r="E20" s="64" t="s">
        <v>182</v>
      </c>
    </row>
    <row r="21" ht="33.75" customHeight="1">
      <c r="B21" s="15">
        <v>38.0</v>
      </c>
      <c r="C21" s="16" t="s">
        <v>183</v>
      </c>
      <c r="D21" s="64" t="s">
        <v>184</v>
      </c>
      <c r="E21" s="64" t="s">
        <v>185</v>
      </c>
    </row>
    <row r="22" ht="33.75" customHeight="1">
      <c r="B22" s="15">
        <v>39.0</v>
      </c>
      <c r="C22" s="16" t="s">
        <v>186</v>
      </c>
      <c r="D22" s="64" t="s">
        <v>187</v>
      </c>
      <c r="E22" s="64" t="s">
        <v>188</v>
      </c>
    </row>
    <row r="23" ht="33.75" customHeight="1">
      <c r="B23" s="15">
        <v>40.0</v>
      </c>
      <c r="C23" s="16" t="s">
        <v>189</v>
      </c>
      <c r="D23" s="64" t="s">
        <v>190</v>
      </c>
      <c r="E23" s="64" t="s">
        <v>191</v>
      </c>
    </row>
    <row r="24" ht="33.75" customHeight="1">
      <c r="B24" s="15">
        <v>41.0</v>
      </c>
      <c r="C24" s="16" t="s">
        <v>192</v>
      </c>
      <c r="D24" s="64" t="s">
        <v>193</v>
      </c>
      <c r="E24" s="65" t="s">
        <v>194</v>
      </c>
    </row>
    <row r="25" ht="39.0" customHeight="1">
      <c r="B25" s="15">
        <v>42.0</v>
      </c>
      <c r="C25" s="16" t="s">
        <v>195</v>
      </c>
      <c r="D25" s="64" t="s">
        <v>69</v>
      </c>
      <c r="E25" s="66" t="s">
        <v>196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5"/>
    <col customWidth="1" min="4" max="4" width="89.75"/>
    <col customWidth="1" min="5" max="5" width="30.75"/>
  </cols>
  <sheetData>
    <row r="2" ht="33.75" customHeight="1">
      <c r="A2" s="33"/>
      <c r="B2" s="67" t="s">
        <v>4</v>
      </c>
      <c r="C2" s="68" t="s">
        <v>5</v>
      </c>
      <c r="D2" s="69" t="s">
        <v>7</v>
      </c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33.75" customHeight="1">
      <c r="A3" s="33"/>
      <c r="B3" s="70">
        <v>16.0</v>
      </c>
      <c r="C3" s="71" t="s">
        <v>160</v>
      </c>
      <c r="D3" s="72" t="s">
        <v>162</v>
      </c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33.75" customHeight="1">
      <c r="A4" s="33"/>
      <c r="B4" s="73">
        <v>17.0</v>
      </c>
      <c r="C4" s="74" t="s">
        <v>197</v>
      </c>
      <c r="D4" s="75" t="s">
        <v>198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33.75" customHeight="1">
      <c r="A5" s="33"/>
      <c r="B5" s="73">
        <v>18.0</v>
      </c>
      <c r="C5" s="74" t="s">
        <v>199</v>
      </c>
      <c r="D5" s="75" t="s">
        <v>200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33.75" customHeight="1">
      <c r="A6" s="33"/>
      <c r="B6" s="73">
        <v>19.0</v>
      </c>
      <c r="C6" s="74" t="s">
        <v>201</v>
      </c>
      <c r="D6" s="75" t="s">
        <v>202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33.75" customHeight="1">
      <c r="A7" s="33"/>
      <c r="B7" s="73">
        <v>20.0</v>
      </c>
      <c r="C7" s="74" t="s">
        <v>203</v>
      </c>
      <c r="D7" s="75" t="s">
        <v>204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33.75" customHeight="1">
      <c r="A8" s="33"/>
      <c r="B8" s="73">
        <v>21.0</v>
      </c>
      <c r="C8" s="74" t="s">
        <v>205</v>
      </c>
      <c r="D8" s="75" t="s">
        <v>206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33.75" customHeight="1">
      <c r="A9" s="33"/>
      <c r="B9" s="73">
        <v>22.0</v>
      </c>
      <c r="C9" s="74" t="s">
        <v>207</v>
      </c>
      <c r="D9" s="75" t="s">
        <v>208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33.75" customHeight="1">
      <c r="A10" s="33"/>
      <c r="B10" s="73">
        <v>23.0</v>
      </c>
      <c r="C10" s="74" t="s">
        <v>209</v>
      </c>
      <c r="D10" s="75" t="s">
        <v>210</v>
      </c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33.75" customHeight="1">
      <c r="A11" s="33"/>
      <c r="B11" s="73">
        <v>24.0</v>
      </c>
      <c r="C11" s="74" t="s">
        <v>211</v>
      </c>
      <c r="D11" s="75" t="s">
        <v>212</v>
      </c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33.75" customHeight="1">
      <c r="A12" s="33"/>
      <c r="B12" s="73">
        <v>25.0</v>
      </c>
      <c r="C12" s="74" t="s">
        <v>213</v>
      </c>
      <c r="D12" s="75" t="s">
        <v>214</v>
      </c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33.75" customHeight="1">
      <c r="A13" s="33"/>
      <c r="B13" s="73">
        <v>26.0</v>
      </c>
      <c r="C13" s="74" t="s">
        <v>215</v>
      </c>
      <c r="D13" s="75" t="s">
        <v>216</v>
      </c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33.75" customHeight="1">
      <c r="A14" s="33"/>
      <c r="B14" s="73">
        <v>27.0</v>
      </c>
      <c r="C14" s="74" t="s">
        <v>95</v>
      </c>
      <c r="D14" s="75" t="s">
        <v>217</v>
      </c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33.75" customHeight="1">
      <c r="A15" s="33"/>
      <c r="B15" s="73">
        <v>28.0</v>
      </c>
      <c r="C15" s="74" t="s">
        <v>218</v>
      </c>
      <c r="D15" s="75" t="s">
        <v>219</v>
      </c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33.75" customHeight="1">
      <c r="A16" s="33"/>
      <c r="B16" s="73">
        <v>29.0</v>
      </c>
      <c r="C16" s="74" t="s">
        <v>220</v>
      </c>
      <c r="D16" s="75" t="s">
        <v>221</v>
      </c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</sheetData>
  <drawing r:id="rId1"/>
</worksheet>
</file>